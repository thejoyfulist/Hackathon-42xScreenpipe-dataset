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_import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PnL_vs_Budget" sheetId="4" state="visible" r:id="rId4"/>
    <sheet xmlns:r="http://schemas.openxmlformats.org/officeDocument/2006/relationships" name="Comment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Pipeline Office Systems - monthly close workbook - 2026-02</t>
        </is>
      </c>
    </row>
    <row r="2">
      <c r="A2" t="inlineStr">
        <is>
          <t>Status: Closed and validated by the CFO</t>
        </is>
      </c>
    </row>
    <row r="3">
      <c r="A3" t="inlineStr"/>
    </row>
    <row r="4">
      <c r="A4" t="inlineStr">
        <is>
          <t>Steps (as done by Claire Donnelly, Financial Controller):</t>
        </is>
      </c>
    </row>
    <row r="5">
      <c r="A5" t="inlineStr">
        <is>
          <t>1. Export GL detail for the month from the ERP (P&amp;L accounts 4000-6999).</t>
        </is>
      </c>
    </row>
    <row r="6">
      <c r="A6" t="inlineStr">
        <is>
          <t>2. Paste the export into GL_import (replace last month's rows).</t>
        </is>
      </c>
    </row>
    <row r="7">
      <c r="A7" t="inlineStr">
        <is>
          <t>3. Check Mapping: no account may show UNMAPPED in GL_import column M.</t>
        </is>
      </c>
    </row>
    <row r="8">
      <c r="A8" t="inlineStr">
        <is>
          <t>4. Check total: sum of net in GL_import equals the ERP P&amp;L total.</t>
        </is>
      </c>
    </row>
    <row r="9">
      <c r="A9" t="inlineStr">
        <is>
          <t>5. Review PnL_vs_Budget; every line with |variance| &gt;= 5,000 EUR needs a comment.</t>
        </is>
      </c>
    </row>
    <row r="10">
      <c r="A10" t="inlineStr">
        <is>
          <t>6. Write the explanations in Commentary, with the source of each explanation.</t>
        </is>
      </c>
    </row>
    <row r="11">
      <c r="A11" t="inlineStr">
        <is>
          <t>7. Update the management pack slides and send to the CFO.</t>
        </is>
      </c>
    </row>
    <row r="12">
      <c r="A12" t="inlineStr"/>
    </row>
    <row r="13">
      <c r="A13" t="inlineStr">
        <is>
          <t>Sign convention: variance &gt; 0 is favourable, &lt; 0 is adverse.</t>
        </is>
      </c>
    </row>
    <row r="14">
      <c r="A14" t="inlineStr">
        <is>
          <t>Fictional data for the 42 Paris x screenpipe hackathon.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8" customWidth="1" min="4" max="4"/>
    <col width="9" customWidth="1" min="5" max="5"/>
    <col width="34" customWidth="1" min="6" max="6"/>
    <col width="8" customWidth="1" min="7" max="7"/>
    <col width="26" customWidth="1" min="8" max="8"/>
    <col width="15" customWidth="1" min="9" max="9"/>
    <col width="46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s="2" t="inlineStr">
        <is>
          <t>entry_id</t>
        </is>
      </c>
      <c r="B1" s="2" t="inlineStr">
        <is>
          <t>posting_date</t>
        </is>
      </c>
      <c r="C1" s="2" t="inlineStr">
        <is>
          <t>period</t>
        </is>
      </c>
      <c r="D1" s="2" t="inlineStr">
        <is>
          <t>journal</t>
        </is>
      </c>
      <c r="E1" s="2" t="inlineStr">
        <is>
          <t>account</t>
        </is>
      </c>
      <c r="F1" s="2" t="inlineStr">
        <is>
          <t>account_name</t>
        </is>
      </c>
      <c r="G1" s="2" t="inlineStr">
        <is>
          <t>cost_centre</t>
        </is>
      </c>
      <c r="H1" s="2" t="inlineStr">
        <is>
          <t>counterparty</t>
        </is>
      </c>
      <c r="I1" s="2" t="inlineStr">
        <is>
          <t>document_ref</t>
        </is>
      </c>
      <c r="J1" s="2" t="inlineStr">
        <is>
          <t>description</t>
        </is>
      </c>
      <c r="K1" s="2" t="inlineStr">
        <is>
          <t>debit</t>
        </is>
      </c>
      <c r="L1" s="2" t="inlineStr">
        <is>
          <t>credit</t>
        </is>
      </c>
      <c r="M1" s="2" t="inlineStr">
        <is>
          <t>line_code</t>
        </is>
      </c>
      <c r="N1" s="2" t="inlineStr">
        <is>
          <t>net</t>
        </is>
      </c>
    </row>
    <row r="2">
      <c r="A2" t="inlineStr">
        <is>
          <t>JE-202602-0001</t>
        </is>
      </c>
      <c r="B2" t="inlineStr">
        <is>
          <t>2026-02-02</t>
        </is>
      </c>
      <c r="C2" t="inlineStr">
        <is>
          <t>2026-02</t>
        </is>
      </c>
      <c r="D2" t="inlineStr">
        <is>
          <t>SAL</t>
        </is>
      </c>
      <c r="E2" t="inlineStr">
        <is>
          <t>4010</t>
        </is>
      </c>
      <c r="F2" t="inlineStr">
        <is>
          <t>Sales - dealers</t>
        </is>
      </c>
      <c r="G2" t="inlineStr">
        <is>
          <t>SALES</t>
        </is>
      </c>
      <c r="H2" t="inlineStr">
        <is>
          <t>DeskWorks Dealers</t>
        </is>
      </c>
      <c r="I2" t="inlineStr">
        <is>
          <t>SI-2602495</t>
        </is>
      </c>
      <c r="J2" t="inlineStr">
        <is>
          <t>Dealer order</t>
        </is>
      </c>
      <c r="K2" t="n">
        <v>0</v>
      </c>
      <c r="L2" t="n">
        <v>69773.03999999999</v>
      </c>
      <c r="M2">
        <f>IFERROR(VLOOKUP(E2,Mapping!$A:$B,2,FALSE),"UNMAPPED")</f>
        <v/>
      </c>
      <c r="N2">
        <f>L2-K2</f>
        <v/>
      </c>
    </row>
    <row r="3">
      <c r="A3" t="inlineStr">
        <is>
          <t>JE-202602-0002</t>
        </is>
      </c>
      <c r="B3" t="inlineStr">
        <is>
          <t>2026-02-02</t>
        </is>
      </c>
      <c r="C3" t="inlineStr">
        <is>
          <t>2026-02</t>
        </is>
      </c>
      <c r="D3" t="inlineStr">
        <is>
          <t>PUR</t>
        </is>
      </c>
      <c r="E3" t="inlineStr">
        <is>
          <t>6200</t>
        </is>
      </c>
      <c r="F3" t="inlineStr">
        <is>
          <t>Rent and service charges</t>
        </is>
      </c>
      <c r="G3" t="inlineStr">
        <is>
          <t>ADMIN</t>
        </is>
      </c>
      <c r="H3" t="inlineStr"/>
      <c r="I3" t="inlineStr">
        <is>
          <t>PI-26022182</t>
        </is>
      </c>
      <c r="J3" t="inlineStr">
        <is>
          <t>Rent and service charge</t>
        </is>
      </c>
      <c r="K3" t="n">
        <v>40000</v>
      </c>
      <c r="L3" t="n">
        <v>0</v>
      </c>
      <c r="M3">
        <f>IFERROR(VLOOKUP(E3,Mapping!$A:$B,2,FALSE),"UNMAPPED")</f>
        <v/>
      </c>
      <c r="N3">
        <f>L3-K3</f>
        <v/>
      </c>
    </row>
    <row r="4">
      <c r="A4" t="inlineStr">
        <is>
          <t>JE-202602-0003</t>
        </is>
      </c>
      <c r="B4" t="inlineStr">
        <is>
          <t>2026-02-03</t>
        </is>
      </c>
      <c r="C4" t="inlineStr">
        <is>
          <t>2026-02</t>
        </is>
      </c>
      <c r="D4" t="inlineStr">
        <is>
          <t>SAL</t>
        </is>
      </c>
      <c r="E4" t="inlineStr">
        <is>
          <t>4000</t>
        </is>
      </c>
      <c r="F4" t="inlineStr">
        <is>
          <t>Sales - contract customers</t>
        </is>
      </c>
      <c r="G4" t="inlineStr">
        <is>
          <t>SALES</t>
        </is>
      </c>
      <c r="H4" t="inlineStr">
        <is>
          <t>Belvedere Hotel Group</t>
        </is>
      </c>
      <c r="I4" t="inlineStr">
        <is>
          <t>SI-2602430</t>
        </is>
      </c>
      <c r="J4" t="inlineStr">
        <is>
          <t>Contract delivery</t>
        </is>
      </c>
      <c r="K4" t="n">
        <v>0</v>
      </c>
      <c r="L4" t="n">
        <v>97490.19</v>
      </c>
      <c r="M4">
        <f>IFERROR(VLOOKUP(E4,Mapping!$A:$B,2,FALSE),"UNMAPPED")</f>
        <v/>
      </c>
      <c r="N4">
        <f>L4-K4</f>
        <v/>
      </c>
    </row>
    <row r="5">
      <c r="A5" t="inlineStr">
        <is>
          <t>JE-202602-0004</t>
        </is>
      </c>
      <c r="B5" t="inlineStr">
        <is>
          <t>2026-02-03</t>
        </is>
      </c>
      <c r="C5" t="inlineStr">
        <is>
          <t>2026-02</t>
        </is>
      </c>
      <c r="D5" t="inlineStr">
        <is>
          <t>PUR</t>
        </is>
      </c>
      <c r="E5" t="inlineStr">
        <is>
          <t>5010</t>
        </is>
      </c>
      <c r="F5" t="inlineStr">
        <is>
          <t>Purchases - metal fittings</t>
        </is>
      </c>
      <c r="G5" t="inlineStr">
        <is>
          <t>PROD</t>
        </is>
      </c>
      <c r="H5" t="inlineStr">
        <is>
          <t>Halvorsen Fittings</t>
        </is>
      </c>
      <c r="I5" t="inlineStr">
        <is>
          <t>PI-26028250</t>
        </is>
      </c>
      <c r="J5" t="inlineStr">
        <is>
          <t>Hinges, frames and fittings</t>
        </is>
      </c>
      <c r="K5" t="n">
        <v>22449.47</v>
      </c>
      <c r="L5" t="n">
        <v>0</v>
      </c>
      <c r="M5">
        <f>IFERROR(VLOOKUP(E5,Mapping!$A:$B,2,FALSE),"UNMAPPED")</f>
        <v/>
      </c>
      <c r="N5">
        <f>L5-K5</f>
        <v/>
      </c>
    </row>
    <row r="6">
      <c r="A6" t="inlineStr">
        <is>
          <t>JE-202602-0005</t>
        </is>
      </c>
      <c r="B6" t="inlineStr">
        <is>
          <t>2026-02-04</t>
        </is>
      </c>
      <c r="C6" t="inlineStr">
        <is>
          <t>2026-02</t>
        </is>
      </c>
      <c r="D6" t="inlineStr">
        <is>
          <t>SAL</t>
        </is>
      </c>
      <c r="E6" t="inlineStr">
        <is>
          <t>4000</t>
        </is>
      </c>
      <c r="F6" t="inlineStr">
        <is>
          <t>Sales - contract customers</t>
        </is>
      </c>
      <c r="G6" t="inlineStr">
        <is>
          <t>SALES</t>
        </is>
      </c>
      <c r="H6" t="inlineStr">
        <is>
          <t>Harbour City Council</t>
        </is>
      </c>
      <c r="I6" t="inlineStr">
        <is>
          <t>SI-2602309</t>
        </is>
      </c>
      <c r="J6" t="inlineStr">
        <is>
          <t>Contract delivery</t>
        </is>
      </c>
      <c r="K6" t="n">
        <v>0</v>
      </c>
      <c r="L6" t="n">
        <v>104140.45</v>
      </c>
      <c r="M6">
        <f>IFERROR(VLOOKUP(E6,Mapping!$A:$B,2,FALSE),"UNMAPPED")</f>
        <v/>
      </c>
      <c r="N6">
        <f>L6-K6</f>
        <v/>
      </c>
    </row>
    <row r="7">
      <c r="A7" t="inlineStr">
        <is>
          <t>JE-202602-0006</t>
        </is>
      </c>
      <c r="B7" t="inlineStr">
        <is>
          <t>2026-02-04</t>
        </is>
      </c>
      <c r="C7" t="inlineStr">
        <is>
          <t>2026-02</t>
        </is>
      </c>
      <c r="D7" t="inlineStr">
        <is>
          <t>PUR</t>
        </is>
      </c>
      <c r="E7" t="inlineStr">
        <is>
          <t>5200</t>
        </is>
      </c>
      <c r="F7" t="inlineStr">
        <is>
          <t>Carriage outwards</t>
        </is>
      </c>
      <c r="G7" t="inlineStr">
        <is>
          <t>LOG</t>
        </is>
      </c>
      <c r="H7" t="inlineStr">
        <is>
          <t>Atlantic Freight Services</t>
        </is>
      </c>
      <c r="I7" t="inlineStr">
        <is>
          <t>PI-26026174</t>
        </is>
      </c>
      <c r="J7" t="inlineStr">
        <is>
          <t>Standard road freight</t>
        </is>
      </c>
      <c r="K7" t="n">
        <v>11407.75</v>
      </c>
      <c r="L7" t="n">
        <v>0</v>
      </c>
      <c r="M7">
        <f>IFERROR(VLOOKUP(E7,Mapping!$A:$B,2,FALSE),"UNMAPPED")</f>
        <v/>
      </c>
      <c r="N7">
        <f>L7-K7</f>
        <v/>
      </c>
    </row>
    <row r="8">
      <c r="A8" t="inlineStr">
        <is>
          <t>JE-202602-0007</t>
        </is>
      </c>
      <c r="B8" t="inlineStr">
        <is>
          <t>2026-02-04</t>
        </is>
      </c>
      <c r="C8" t="inlineStr">
        <is>
          <t>2026-02</t>
        </is>
      </c>
      <c r="D8" t="inlineStr">
        <is>
          <t>PUR</t>
        </is>
      </c>
      <c r="E8" t="inlineStr">
        <is>
          <t>6300</t>
        </is>
      </c>
      <c r="F8" t="inlineStr">
        <is>
          <t>Other overheads</t>
        </is>
      </c>
      <c r="G8" t="inlineStr">
        <is>
          <t>ADMIN</t>
        </is>
      </c>
      <c r="H8" t="inlineStr"/>
      <c r="I8" t="inlineStr">
        <is>
          <t>PI-26029573</t>
        </is>
      </c>
      <c r="J8" t="inlineStr">
        <is>
          <t>Overheads</t>
        </is>
      </c>
      <c r="K8" t="n">
        <v>9717.719999999999</v>
      </c>
      <c r="L8" t="n">
        <v>0</v>
      </c>
      <c r="M8">
        <f>IFERROR(VLOOKUP(E8,Mapping!$A:$B,2,FALSE),"UNMAPPED")</f>
        <v/>
      </c>
      <c r="N8">
        <f>L8-K8</f>
        <v/>
      </c>
    </row>
    <row r="9">
      <c r="A9" t="inlineStr">
        <is>
          <t>JE-202602-0008</t>
        </is>
      </c>
      <c r="B9" t="inlineStr">
        <is>
          <t>2026-02-05</t>
        </is>
      </c>
      <c r="C9" t="inlineStr">
        <is>
          <t>2026-02</t>
        </is>
      </c>
      <c r="D9" t="inlineStr">
        <is>
          <t>SAL</t>
        </is>
      </c>
      <c r="E9" t="inlineStr">
        <is>
          <t>4010</t>
        </is>
      </c>
      <c r="F9" t="inlineStr">
        <is>
          <t>Sales - dealers</t>
        </is>
      </c>
      <c r="G9" t="inlineStr">
        <is>
          <t>SALES</t>
        </is>
      </c>
      <c r="H9" t="inlineStr">
        <is>
          <t>OfficeLine Distribution</t>
        </is>
      </c>
      <c r="I9" t="inlineStr">
        <is>
          <t>SI-2602814</t>
        </is>
      </c>
      <c r="J9" t="inlineStr">
        <is>
          <t>Dealer order</t>
        </is>
      </c>
      <c r="K9" t="n">
        <v>0</v>
      </c>
      <c r="L9" t="n">
        <v>57338.27</v>
      </c>
      <c r="M9">
        <f>IFERROR(VLOOKUP(E9,Mapping!$A:$B,2,FALSE),"UNMAPPED")</f>
        <v/>
      </c>
      <c r="N9">
        <f>L9-K9</f>
        <v/>
      </c>
    </row>
    <row r="10">
      <c r="A10" t="inlineStr">
        <is>
          <t>JE-202602-0009</t>
        </is>
      </c>
      <c r="B10" t="inlineStr">
        <is>
          <t>2026-02-05</t>
        </is>
      </c>
      <c r="C10" t="inlineStr">
        <is>
          <t>2026-02</t>
        </is>
      </c>
      <c r="D10" t="inlineStr">
        <is>
          <t>PUR</t>
        </is>
      </c>
      <c r="E10" t="inlineStr">
        <is>
          <t>5000</t>
        </is>
      </c>
      <c r="F10" t="inlineStr">
        <is>
          <t>Purchases - timber and panels</t>
        </is>
      </c>
      <c r="G10" t="inlineStr">
        <is>
          <t>PROD</t>
        </is>
      </c>
      <c r="H10" t="inlineStr">
        <is>
          <t>Oakfield Panels</t>
        </is>
      </c>
      <c r="I10" t="inlineStr">
        <is>
          <t>PI-26021540</t>
        </is>
      </c>
      <c r="J10" t="inlineStr">
        <is>
          <t>Panels and boards</t>
        </is>
      </c>
      <c r="K10" t="n">
        <v>19105.23</v>
      </c>
      <c r="L10" t="n">
        <v>0</v>
      </c>
      <c r="M10">
        <f>IFERROR(VLOOKUP(E10,Mapping!$A:$B,2,FALSE),"UNMAPPED")</f>
        <v/>
      </c>
      <c r="N10">
        <f>L10-K10</f>
        <v/>
      </c>
    </row>
    <row r="11">
      <c r="A11" t="inlineStr">
        <is>
          <t>JE-202602-0010</t>
        </is>
      </c>
      <c r="B11" t="inlineStr">
        <is>
          <t>2026-02-05</t>
        </is>
      </c>
      <c r="C11" t="inlineStr">
        <is>
          <t>2026-02</t>
        </is>
      </c>
      <c r="D11" t="inlineStr">
        <is>
          <t>PUR</t>
        </is>
      </c>
      <c r="E11" t="inlineStr">
        <is>
          <t>5000</t>
        </is>
      </c>
      <c r="F11" t="inlineStr">
        <is>
          <t>Purchases - timber and panels</t>
        </is>
      </c>
      <c r="G11" t="inlineStr">
        <is>
          <t>PROD</t>
        </is>
      </c>
      <c r="H11" t="inlineStr">
        <is>
          <t>Nordboard Supplies</t>
        </is>
      </c>
      <c r="I11" t="inlineStr">
        <is>
          <t>PI-26022313</t>
        </is>
      </c>
      <c r="J11" t="inlineStr">
        <is>
          <t>Panels and boards</t>
        </is>
      </c>
      <c r="K11" t="n">
        <v>32010.85</v>
      </c>
      <c r="L11" t="n">
        <v>0</v>
      </c>
      <c r="M11">
        <f>IFERROR(VLOOKUP(E11,Mapping!$A:$B,2,FALSE),"UNMAPPED")</f>
        <v/>
      </c>
      <c r="N11">
        <f>L11-K11</f>
        <v/>
      </c>
    </row>
    <row r="12">
      <c r="A12" t="inlineStr">
        <is>
          <t>JE-202602-0011</t>
        </is>
      </c>
      <c r="B12" t="inlineStr">
        <is>
          <t>2026-02-05</t>
        </is>
      </c>
      <c r="C12" t="inlineStr">
        <is>
          <t>2026-02</t>
        </is>
      </c>
      <c r="D12" t="inlineStr">
        <is>
          <t>PUR</t>
        </is>
      </c>
      <c r="E12" t="inlineStr">
        <is>
          <t>6300</t>
        </is>
      </c>
      <c r="F12" t="inlineStr">
        <is>
          <t>Other overheads</t>
        </is>
      </c>
      <c r="G12" t="inlineStr">
        <is>
          <t>ADMIN</t>
        </is>
      </c>
      <c r="H12" t="inlineStr"/>
      <c r="I12" t="inlineStr">
        <is>
          <t>PI-26023449</t>
        </is>
      </c>
      <c r="J12" t="inlineStr">
        <is>
          <t>Overheads</t>
        </is>
      </c>
      <c r="K12" t="n">
        <v>5571.87</v>
      </c>
      <c r="L12" t="n">
        <v>0</v>
      </c>
      <c r="M12">
        <f>IFERROR(VLOOKUP(E12,Mapping!$A:$B,2,FALSE),"UNMAPPED")</f>
        <v/>
      </c>
      <c r="N12">
        <f>L12-K12</f>
        <v/>
      </c>
    </row>
    <row r="13">
      <c r="A13" t="inlineStr">
        <is>
          <t>JE-202602-0012</t>
        </is>
      </c>
      <c r="B13" t="inlineStr">
        <is>
          <t>2026-02-06</t>
        </is>
      </c>
      <c r="C13" t="inlineStr">
        <is>
          <t>2026-02</t>
        </is>
      </c>
      <c r="D13" t="inlineStr">
        <is>
          <t>PUR</t>
        </is>
      </c>
      <c r="E13" t="inlineStr">
        <is>
          <t>5000</t>
        </is>
      </c>
      <c r="F13" t="inlineStr">
        <is>
          <t>Purchases - timber and panels</t>
        </is>
      </c>
      <c r="G13" t="inlineStr">
        <is>
          <t>PROD</t>
        </is>
      </c>
      <c r="H13" t="inlineStr">
        <is>
          <t>Brightwood Timber Ltd</t>
        </is>
      </c>
      <c r="I13" t="inlineStr">
        <is>
          <t>BW-INV-10588</t>
        </is>
      </c>
      <c r="J13" t="inlineStr">
        <is>
          <t>Oak and birch veneer panels - price list 2026-02</t>
        </is>
      </c>
      <c r="K13" t="n">
        <v>52200</v>
      </c>
      <c r="L13" t="n">
        <v>0</v>
      </c>
      <c r="M13">
        <f>IFERROR(VLOOKUP(E13,Mapping!$A:$B,2,FALSE),"UNMAPPED")</f>
        <v/>
      </c>
      <c r="N13">
        <f>L13-K13</f>
        <v/>
      </c>
    </row>
    <row r="14">
      <c r="A14" t="inlineStr">
        <is>
          <t>JE-202602-0013</t>
        </is>
      </c>
      <c r="B14" t="inlineStr">
        <is>
          <t>2026-02-06</t>
        </is>
      </c>
      <c r="C14" t="inlineStr">
        <is>
          <t>2026-02</t>
        </is>
      </c>
      <c r="D14" t="inlineStr">
        <is>
          <t>PUR</t>
        </is>
      </c>
      <c r="E14" t="inlineStr">
        <is>
          <t>6100</t>
        </is>
      </c>
      <c r="F14" t="inlineStr">
        <is>
          <t>Audit, legal and consulting fees</t>
        </is>
      </c>
      <c r="G14" t="inlineStr">
        <is>
          <t>ADMIN</t>
        </is>
      </c>
      <c r="H14" t="inlineStr">
        <is>
          <t>Harrowgate Audit &amp; Tax</t>
        </is>
      </c>
      <c r="I14" t="inlineStr">
        <is>
          <t>PI-26022699</t>
        </is>
      </c>
      <c r="J14" t="inlineStr">
        <is>
          <t>Monthly retainer</t>
        </is>
      </c>
      <c r="K14" t="n">
        <v>9606.040000000001</v>
      </c>
      <c r="L14" t="n">
        <v>0</v>
      </c>
      <c r="M14">
        <f>IFERROR(VLOOKUP(E14,Mapping!$A:$B,2,FALSE),"UNMAPPED")</f>
        <v/>
      </c>
      <c r="N14">
        <f>L14-K14</f>
        <v/>
      </c>
    </row>
    <row r="15">
      <c r="A15" t="inlineStr">
        <is>
          <t>JE-202602-0014</t>
        </is>
      </c>
      <c r="B15" t="inlineStr">
        <is>
          <t>2026-02-09</t>
        </is>
      </c>
      <c r="C15" t="inlineStr">
        <is>
          <t>2026-02</t>
        </is>
      </c>
      <c r="D15" t="inlineStr">
        <is>
          <t>PUR</t>
        </is>
      </c>
      <c r="E15" t="inlineStr">
        <is>
          <t>6000</t>
        </is>
      </c>
      <c r="F15" t="inlineStr">
        <is>
          <t>Electricity and gas</t>
        </is>
      </c>
      <c r="G15" t="inlineStr">
        <is>
          <t>ADMIN</t>
        </is>
      </c>
      <c r="H15" t="inlineStr">
        <is>
          <t>Celtic Energy Supply</t>
        </is>
      </c>
      <c r="I15" t="inlineStr">
        <is>
          <t>PI-26029627</t>
        </is>
      </c>
      <c r="J15" t="inlineStr">
        <is>
          <t>Monthly energy invoice</t>
        </is>
      </c>
      <c r="K15" t="n">
        <v>31900</v>
      </c>
      <c r="L15" t="n">
        <v>0</v>
      </c>
      <c r="M15">
        <f>IFERROR(VLOOKUP(E15,Mapping!$A:$B,2,FALSE),"UNMAPPED")</f>
        <v/>
      </c>
      <c r="N15">
        <f>L15-K15</f>
        <v/>
      </c>
    </row>
    <row r="16">
      <c r="A16" t="inlineStr">
        <is>
          <t>JE-202602-0015</t>
        </is>
      </c>
      <c r="B16" t="inlineStr">
        <is>
          <t>2026-02-10</t>
        </is>
      </c>
      <c r="C16" t="inlineStr">
        <is>
          <t>2026-02</t>
        </is>
      </c>
      <c r="D16" t="inlineStr">
        <is>
          <t>SAL</t>
        </is>
      </c>
      <c r="E16" t="inlineStr">
        <is>
          <t>4000</t>
        </is>
      </c>
      <c r="F16" t="inlineStr">
        <is>
          <t>Sales - contract customers</t>
        </is>
      </c>
      <c r="G16" t="inlineStr">
        <is>
          <t>SALES</t>
        </is>
      </c>
      <c r="H16" t="inlineStr">
        <is>
          <t>Quayside Co-working</t>
        </is>
      </c>
      <c r="I16" t="inlineStr">
        <is>
          <t>SI-2602434</t>
        </is>
      </c>
      <c r="J16" t="inlineStr">
        <is>
          <t>Contract delivery</t>
        </is>
      </c>
      <c r="K16" t="n">
        <v>0</v>
      </c>
      <c r="L16" t="n">
        <v>111876.51</v>
      </c>
      <c r="M16">
        <f>IFERROR(VLOOKUP(E16,Mapping!$A:$B,2,FALSE),"UNMAPPED")</f>
        <v/>
      </c>
      <c r="N16">
        <f>L16-K16</f>
        <v/>
      </c>
    </row>
    <row r="17">
      <c r="A17" t="inlineStr">
        <is>
          <t>JE-202602-0016</t>
        </is>
      </c>
      <c r="B17" t="inlineStr">
        <is>
          <t>2026-02-10</t>
        </is>
      </c>
      <c r="C17" t="inlineStr">
        <is>
          <t>2026-02</t>
        </is>
      </c>
      <c r="D17" t="inlineStr">
        <is>
          <t>PUR</t>
        </is>
      </c>
      <c r="E17" t="inlineStr">
        <is>
          <t>5200</t>
        </is>
      </c>
      <c r="F17" t="inlineStr">
        <is>
          <t>Carriage outwards</t>
        </is>
      </c>
      <c r="G17" t="inlineStr">
        <is>
          <t>LOG</t>
        </is>
      </c>
      <c r="H17" t="inlineStr">
        <is>
          <t>Atlantic Freight Services</t>
        </is>
      </c>
      <c r="I17" t="inlineStr">
        <is>
          <t>PI-26028225</t>
        </is>
      </c>
      <c r="J17" t="inlineStr">
        <is>
          <t>Standard road freight</t>
        </is>
      </c>
      <c r="K17" t="n">
        <v>10878.25</v>
      </c>
      <c r="L17" t="n">
        <v>0</v>
      </c>
      <c r="M17">
        <f>IFERROR(VLOOKUP(E17,Mapping!$A:$B,2,FALSE),"UNMAPPED")</f>
        <v/>
      </c>
      <c r="N17">
        <f>L17-K17</f>
        <v/>
      </c>
    </row>
    <row r="18">
      <c r="A18" t="inlineStr">
        <is>
          <t>JE-202602-0017</t>
        </is>
      </c>
      <c r="B18" t="inlineStr">
        <is>
          <t>2026-02-10</t>
        </is>
      </c>
      <c r="C18" t="inlineStr">
        <is>
          <t>2026-02</t>
        </is>
      </c>
      <c r="D18" t="inlineStr">
        <is>
          <t>PUR</t>
        </is>
      </c>
      <c r="E18" t="inlineStr">
        <is>
          <t>6300</t>
        </is>
      </c>
      <c r="F18" t="inlineStr">
        <is>
          <t>Other overheads</t>
        </is>
      </c>
      <c r="G18" t="inlineStr">
        <is>
          <t>ADMIN</t>
        </is>
      </c>
      <c r="H18" t="inlineStr"/>
      <c r="I18" t="inlineStr">
        <is>
          <t>PI-26027408</t>
        </is>
      </c>
      <c r="J18" t="inlineStr">
        <is>
          <t>Overheads</t>
        </is>
      </c>
      <c r="K18" t="n">
        <v>9065.639999999999</v>
      </c>
      <c r="L18" t="n">
        <v>0</v>
      </c>
      <c r="M18">
        <f>IFERROR(VLOOKUP(E18,Mapping!$A:$B,2,FALSE),"UNMAPPED")</f>
        <v/>
      </c>
      <c r="N18">
        <f>L18-K18</f>
        <v/>
      </c>
    </row>
    <row r="19">
      <c r="A19" t="inlineStr">
        <is>
          <t>JE-202602-0018</t>
        </is>
      </c>
      <c r="B19" t="inlineStr">
        <is>
          <t>2026-02-11</t>
        </is>
      </c>
      <c r="C19" t="inlineStr">
        <is>
          <t>2026-02</t>
        </is>
      </c>
      <c r="D19" t="inlineStr">
        <is>
          <t>PUR</t>
        </is>
      </c>
      <c r="E19" t="inlineStr">
        <is>
          <t>5010</t>
        </is>
      </c>
      <c r="F19" t="inlineStr">
        <is>
          <t>Purchases - metal fittings</t>
        </is>
      </c>
      <c r="G19" t="inlineStr">
        <is>
          <t>PROD</t>
        </is>
      </c>
      <c r="H19" t="inlineStr">
        <is>
          <t>Halvorsen Fittings</t>
        </is>
      </c>
      <c r="I19" t="inlineStr">
        <is>
          <t>PI-26023718</t>
        </is>
      </c>
      <c r="J19" t="inlineStr">
        <is>
          <t>Hinges, frames and fittings</t>
        </is>
      </c>
      <c r="K19" t="n">
        <v>37957.77</v>
      </c>
      <c r="L19" t="n">
        <v>0</v>
      </c>
      <c r="M19">
        <f>IFERROR(VLOOKUP(E19,Mapping!$A:$B,2,FALSE),"UNMAPPED")</f>
        <v/>
      </c>
      <c r="N19">
        <f>L19-K19</f>
        <v/>
      </c>
    </row>
    <row r="20">
      <c r="A20" t="inlineStr">
        <is>
          <t>JE-202602-0019</t>
        </is>
      </c>
      <c r="B20" t="inlineStr">
        <is>
          <t>2026-02-12</t>
        </is>
      </c>
      <c r="C20" t="inlineStr">
        <is>
          <t>2026-02</t>
        </is>
      </c>
      <c r="D20" t="inlineStr">
        <is>
          <t>SAL</t>
        </is>
      </c>
      <c r="E20" t="inlineStr">
        <is>
          <t>4000</t>
        </is>
      </c>
      <c r="F20" t="inlineStr">
        <is>
          <t>Sales - contract customers</t>
        </is>
      </c>
      <c r="G20" t="inlineStr">
        <is>
          <t>SALES</t>
        </is>
      </c>
      <c r="H20" t="inlineStr">
        <is>
          <t>Meridian Insurance</t>
        </is>
      </c>
      <c r="I20" t="inlineStr">
        <is>
          <t>SI-2602147</t>
        </is>
      </c>
      <c r="J20" t="inlineStr">
        <is>
          <t>Contract delivery</t>
        </is>
      </c>
      <c r="K20" t="n">
        <v>0</v>
      </c>
      <c r="L20" t="n">
        <v>61980.69</v>
      </c>
      <c r="M20">
        <f>IFERROR(VLOOKUP(E20,Mapping!$A:$B,2,FALSE),"UNMAPPED")</f>
        <v/>
      </c>
      <c r="N20">
        <f>L20-K20</f>
        <v/>
      </c>
    </row>
    <row r="21">
      <c r="A21" t="inlineStr">
        <is>
          <t>JE-202602-0020</t>
        </is>
      </c>
      <c r="B21" t="inlineStr">
        <is>
          <t>2026-02-12</t>
        </is>
      </c>
      <c r="C21" t="inlineStr">
        <is>
          <t>2026-02</t>
        </is>
      </c>
      <c r="D21" t="inlineStr">
        <is>
          <t>SAL</t>
        </is>
      </c>
      <c r="E21" t="inlineStr">
        <is>
          <t>4010</t>
        </is>
      </c>
      <c r="F21" t="inlineStr">
        <is>
          <t>Sales - dealers</t>
        </is>
      </c>
      <c r="G21" t="inlineStr">
        <is>
          <t>SALES</t>
        </is>
      </c>
      <c r="H21" t="inlineStr">
        <is>
          <t>Workspace Hub Retail</t>
        </is>
      </c>
      <c r="I21" t="inlineStr">
        <is>
          <t>SI-2602965</t>
        </is>
      </c>
      <c r="J21" t="inlineStr">
        <is>
          <t>Dealer order</t>
        </is>
      </c>
      <c r="K21" t="n">
        <v>0</v>
      </c>
      <c r="L21" t="n">
        <v>92570.16</v>
      </c>
      <c r="M21">
        <f>IFERROR(VLOOKUP(E21,Mapping!$A:$B,2,FALSE),"UNMAPPED")</f>
        <v/>
      </c>
      <c r="N21">
        <f>L21-K21</f>
        <v/>
      </c>
    </row>
    <row r="22">
      <c r="A22" t="inlineStr">
        <is>
          <t>JE-202602-0021</t>
        </is>
      </c>
      <c r="B22" t="inlineStr">
        <is>
          <t>2026-02-12</t>
        </is>
      </c>
      <c r="C22" t="inlineStr">
        <is>
          <t>2026-02</t>
        </is>
      </c>
      <c r="D22" t="inlineStr">
        <is>
          <t>PUR</t>
        </is>
      </c>
      <c r="E22" t="inlineStr">
        <is>
          <t>5000</t>
        </is>
      </c>
      <c r="F22" t="inlineStr">
        <is>
          <t>Purchases - timber and panels</t>
        </is>
      </c>
      <c r="G22" t="inlineStr">
        <is>
          <t>PROD</t>
        </is>
      </c>
      <c r="H22" t="inlineStr">
        <is>
          <t>Oakfield Panels</t>
        </is>
      </c>
      <c r="I22" t="inlineStr">
        <is>
          <t>PI-26025757</t>
        </is>
      </c>
      <c r="J22" t="inlineStr">
        <is>
          <t>Panels and boards</t>
        </is>
      </c>
      <c r="K22" t="n">
        <v>17614.58</v>
      </c>
      <c r="L22" t="n">
        <v>0</v>
      </c>
      <c r="M22">
        <f>IFERROR(VLOOKUP(E22,Mapping!$A:$B,2,FALSE),"UNMAPPED")</f>
        <v/>
      </c>
      <c r="N22">
        <f>L22-K22</f>
        <v/>
      </c>
    </row>
    <row r="23">
      <c r="A23" t="inlineStr">
        <is>
          <t>JE-202602-0022</t>
        </is>
      </c>
      <c r="B23" t="inlineStr">
        <is>
          <t>2026-02-13</t>
        </is>
      </c>
      <c r="C23" t="inlineStr">
        <is>
          <t>2026-02</t>
        </is>
      </c>
      <c r="D23" t="inlineStr">
        <is>
          <t>SAL</t>
        </is>
      </c>
      <c r="E23" t="inlineStr">
        <is>
          <t>4000</t>
        </is>
      </c>
      <c r="F23" t="inlineStr">
        <is>
          <t>Sales - contract customers</t>
        </is>
      </c>
      <c r="G23" t="inlineStr">
        <is>
          <t>SALES</t>
        </is>
      </c>
      <c r="H23" t="inlineStr">
        <is>
          <t>Lough Valley University</t>
        </is>
      </c>
      <c r="I23" t="inlineStr">
        <is>
          <t>SI-2602535</t>
        </is>
      </c>
      <c r="J23" t="inlineStr">
        <is>
          <t>Contract delivery</t>
        </is>
      </c>
      <c r="K23" t="n">
        <v>0</v>
      </c>
      <c r="L23" t="n">
        <v>104808.44</v>
      </c>
      <c r="M23">
        <f>IFERROR(VLOOKUP(E23,Mapping!$A:$B,2,FALSE),"UNMAPPED")</f>
        <v/>
      </c>
      <c r="N23">
        <f>L23-K23</f>
        <v/>
      </c>
    </row>
    <row r="24">
      <c r="A24" t="inlineStr">
        <is>
          <t>JE-202602-0023</t>
        </is>
      </c>
      <c r="B24" t="inlineStr">
        <is>
          <t>2026-02-13</t>
        </is>
      </c>
      <c r="C24" t="inlineStr">
        <is>
          <t>2026-02</t>
        </is>
      </c>
      <c r="D24" t="inlineStr">
        <is>
          <t>PUR</t>
        </is>
      </c>
      <c r="E24" t="inlineStr">
        <is>
          <t>6300</t>
        </is>
      </c>
      <c r="F24" t="inlineStr">
        <is>
          <t>Other overheads</t>
        </is>
      </c>
      <c r="G24" t="inlineStr">
        <is>
          <t>ADMIN</t>
        </is>
      </c>
      <c r="H24" t="inlineStr"/>
      <c r="I24" t="inlineStr">
        <is>
          <t>PI-26022700</t>
        </is>
      </c>
      <c r="J24" t="inlineStr">
        <is>
          <t>Overheads</t>
        </is>
      </c>
      <c r="K24" t="n">
        <v>8571.4</v>
      </c>
      <c r="L24" t="n">
        <v>0</v>
      </c>
      <c r="M24">
        <f>IFERROR(VLOOKUP(E24,Mapping!$A:$B,2,FALSE),"UNMAPPED")</f>
        <v/>
      </c>
      <c r="N24">
        <f>L24-K24</f>
        <v/>
      </c>
    </row>
    <row r="25">
      <c r="A25" t="inlineStr">
        <is>
          <t>JE-202602-0024</t>
        </is>
      </c>
      <c r="B25" t="inlineStr">
        <is>
          <t>2026-02-16</t>
        </is>
      </c>
      <c r="C25" t="inlineStr">
        <is>
          <t>2026-02</t>
        </is>
      </c>
      <c r="D25" t="inlineStr">
        <is>
          <t>SAL</t>
        </is>
      </c>
      <c r="E25" t="inlineStr">
        <is>
          <t>4010</t>
        </is>
      </c>
      <c r="F25" t="inlineStr">
        <is>
          <t>Sales - dealers</t>
        </is>
      </c>
      <c r="G25" t="inlineStr">
        <is>
          <t>SALES</t>
        </is>
      </c>
      <c r="H25" t="inlineStr">
        <is>
          <t>DeskWorks Dealers</t>
        </is>
      </c>
      <c r="I25" t="inlineStr">
        <is>
          <t>SI-2602499</t>
        </is>
      </c>
      <c r="J25" t="inlineStr">
        <is>
          <t>Dealer order</t>
        </is>
      </c>
      <c r="K25" t="n">
        <v>0</v>
      </c>
      <c r="L25" t="n">
        <v>62865.32</v>
      </c>
      <c r="M25">
        <f>IFERROR(VLOOKUP(E25,Mapping!$A:$B,2,FALSE),"UNMAPPED")</f>
        <v/>
      </c>
      <c r="N25">
        <f>L25-K25</f>
        <v/>
      </c>
    </row>
    <row r="26">
      <c r="A26" t="inlineStr">
        <is>
          <t>JE-202602-0025</t>
        </is>
      </c>
      <c r="B26" t="inlineStr">
        <is>
          <t>2026-02-16</t>
        </is>
      </c>
      <c r="C26" t="inlineStr">
        <is>
          <t>2026-02</t>
        </is>
      </c>
      <c r="D26" t="inlineStr">
        <is>
          <t>PUR</t>
        </is>
      </c>
      <c r="E26" t="inlineStr">
        <is>
          <t>5000</t>
        </is>
      </c>
      <c r="F26" t="inlineStr">
        <is>
          <t>Purchases - timber and panels</t>
        </is>
      </c>
      <c r="G26" t="inlineStr">
        <is>
          <t>PROD</t>
        </is>
      </c>
      <c r="H26" t="inlineStr">
        <is>
          <t>Brightwood Timber Ltd</t>
        </is>
      </c>
      <c r="I26" t="inlineStr">
        <is>
          <t>BW-INV-10631</t>
        </is>
      </c>
      <c r="J26" t="inlineStr">
        <is>
          <t>Oak and birch veneer panels - price list 2026-02</t>
        </is>
      </c>
      <c r="K26" t="n">
        <v>52200</v>
      </c>
      <c r="L26" t="n">
        <v>0</v>
      </c>
      <c r="M26">
        <f>IFERROR(VLOOKUP(E26,Mapping!$A:$B,2,FALSE),"UNMAPPED")</f>
        <v/>
      </c>
      <c r="N26">
        <f>L26-K26</f>
        <v/>
      </c>
    </row>
    <row r="27">
      <c r="A27" t="inlineStr">
        <is>
          <t>JE-202602-0026</t>
        </is>
      </c>
      <c r="B27" t="inlineStr">
        <is>
          <t>2026-02-16</t>
        </is>
      </c>
      <c r="C27" t="inlineStr">
        <is>
          <t>2026-02</t>
        </is>
      </c>
      <c r="D27" t="inlineStr">
        <is>
          <t>PUR</t>
        </is>
      </c>
      <c r="E27" t="inlineStr">
        <is>
          <t>5010</t>
        </is>
      </c>
      <c r="F27" t="inlineStr">
        <is>
          <t>Purchases - metal fittings</t>
        </is>
      </c>
      <c r="G27" t="inlineStr">
        <is>
          <t>PROD</t>
        </is>
      </c>
      <c r="H27" t="inlineStr">
        <is>
          <t>Halvorsen Fittings</t>
        </is>
      </c>
      <c r="I27" t="inlineStr">
        <is>
          <t>PI-26025973</t>
        </is>
      </c>
      <c r="J27" t="inlineStr">
        <is>
          <t>Hinges, frames and fittings</t>
        </is>
      </c>
      <c r="K27" t="n">
        <v>32867.25</v>
      </c>
      <c r="L27" t="n">
        <v>0</v>
      </c>
      <c r="M27">
        <f>IFERROR(VLOOKUP(E27,Mapping!$A:$B,2,FALSE),"UNMAPPED")</f>
        <v/>
      </c>
      <c r="N27">
        <f>L27-K27</f>
        <v/>
      </c>
    </row>
    <row r="28">
      <c r="A28" t="inlineStr">
        <is>
          <t>JE-202602-0027</t>
        </is>
      </c>
      <c r="B28" t="inlineStr">
        <is>
          <t>2026-02-16</t>
        </is>
      </c>
      <c r="C28" t="inlineStr">
        <is>
          <t>2026-02</t>
        </is>
      </c>
      <c r="D28" t="inlineStr">
        <is>
          <t>PUR</t>
        </is>
      </c>
      <c r="E28" t="inlineStr">
        <is>
          <t>5200</t>
        </is>
      </c>
      <c r="F28" t="inlineStr">
        <is>
          <t>Carriage outwards</t>
        </is>
      </c>
      <c r="G28" t="inlineStr">
        <is>
          <t>LOG</t>
        </is>
      </c>
      <c r="H28" t="inlineStr">
        <is>
          <t>Atlantic Freight Services</t>
        </is>
      </c>
      <c r="I28" t="inlineStr">
        <is>
          <t>PI-26023486</t>
        </is>
      </c>
      <c r="J28" t="inlineStr">
        <is>
          <t>Standard road freight</t>
        </is>
      </c>
      <c r="K28" t="n">
        <v>11009.86</v>
      </c>
      <c r="L28" t="n">
        <v>0</v>
      </c>
      <c r="M28">
        <f>IFERROR(VLOOKUP(E28,Mapping!$A:$B,2,FALSE),"UNMAPPED")</f>
        <v/>
      </c>
      <c r="N28">
        <f>L28-K28</f>
        <v/>
      </c>
    </row>
    <row r="29">
      <c r="A29" t="inlineStr">
        <is>
          <t>JE-202602-0028</t>
        </is>
      </c>
      <c r="B29" t="inlineStr">
        <is>
          <t>2026-02-16</t>
        </is>
      </c>
      <c r="C29" t="inlineStr">
        <is>
          <t>2026-02</t>
        </is>
      </c>
      <c r="D29" t="inlineStr">
        <is>
          <t>PUR</t>
        </is>
      </c>
      <c r="E29" t="inlineStr">
        <is>
          <t>6300</t>
        </is>
      </c>
      <c r="F29" t="inlineStr">
        <is>
          <t>Other overheads</t>
        </is>
      </c>
      <c r="G29" t="inlineStr">
        <is>
          <t>ADMIN</t>
        </is>
      </c>
      <c r="H29" t="inlineStr"/>
      <c r="I29" t="inlineStr">
        <is>
          <t>PI-26022502</t>
        </is>
      </c>
      <c r="J29" t="inlineStr">
        <is>
          <t>Overheads</t>
        </is>
      </c>
      <c r="K29" t="n">
        <v>8938.65</v>
      </c>
      <c r="L29" t="n">
        <v>0</v>
      </c>
      <c r="M29">
        <f>IFERROR(VLOOKUP(E29,Mapping!$A:$B,2,FALSE),"UNMAPPED")</f>
        <v/>
      </c>
      <c r="N29">
        <f>L29-K29</f>
        <v/>
      </c>
    </row>
    <row r="30">
      <c r="A30" t="inlineStr">
        <is>
          <t>JE-202602-0029</t>
        </is>
      </c>
      <c r="B30" t="inlineStr">
        <is>
          <t>2026-02-18</t>
        </is>
      </c>
      <c r="C30" t="inlineStr">
        <is>
          <t>2026-02</t>
        </is>
      </c>
      <c r="D30" t="inlineStr">
        <is>
          <t>SAL</t>
        </is>
      </c>
      <c r="E30" t="inlineStr">
        <is>
          <t>4010</t>
        </is>
      </c>
      <c r="F30" t="inlineStr">
        <is>
          <t>Sales - dealers</t>
        </is>
      </c>
      <c r="G30" t="inlineStr">
        <is>
          <t>SALES</t>
        </is>
      </c>
      <c r="H30" t="inlineStr">
        <is>
          <t>OfficeLine Distribution</t>
        </is>
      </c>
      <c r="I30" t="inlineStr">
        <is>
          <t>SI-2602416</t>
        </is>
      </c>
      <c r="J30" t="inlineStr">
        <is>
          <t>Dealer order</t>
        </is>
      </c>
      <c r="K30" t="n">
        <v>0</v>
      </c>
      <c r="L30" t="n">
        <v>57484.91</v>
      </c>
      <c r="M30">
        <f>IFERROR(VLOOKUP(E30,Mapping!$A:$B,2,FALSE),"UNMAPPED")</f>
        <v/>
      </c>
      <c r="N30">
        <f>L30-K30</f>
        <v/>
      </c>
    </row>
    <row r="31">
      <c r="A31" t="inlineStr">
        <is>
          <t>JE-202602-0030</t>
        </is>
      </c>
      <c r="B31" t="inlineStr">
        <is>
          <t>2026-02-18</t>
        </is>
      </c>
      <c r="C31" t="inlineStr">
        <is>
          <t>2026-02</t>
        </is>
      </c>
      <c r="D31" t="inlineStr">
        <is>
          <t>PUR</t>
        </is>
      </c>
      <c r="E31" t="inlineStr">
        <is>
          <t>5000</t>
        </is>
      </c>
      <c r="F31" t="inlineStr">
        <is>
          <t>Purchases - timber and panels</t>
        </is>
      </c>
      <c r="G31" t="inlineStr">
        <is>
          <t>PROD</t>
        </is>
      </c>
      <c r="H31" t="inlineStr">
        <is>
          <t>Nordboard Supplies</t>
        </is>
      </c>
      <c r="I31" t="inlineStr">
        <is>
          <t>PI-26023836</t>
        </is>
      </c>
      <c r="J31" t="inlineStr">
        <is>
          <t>Panels and boards</t>
        </is>
      </c>
      <c r="K31" t="n">
        <v>19417.28</v>
      </c>
      <c r="L31" t="n">
        <v>0</v>
      </c>
      <c r="M31">
        <f>IFERROR(VLOOKUP(E31,Mapping!$A:$B,2,FALSE),"UNMAPPED")</f>
        <v/>
      </c>
      <c r="N31">
        <f>L31-K31</f>
        <v/>
      </c>
    </row>
    <row r="32">
      <c r="A32" t="inlineStr">
        <is>
          <t>JE-202602-0031</t>
        </is>
      </c>
      <c r="B32" t="inlineStr">
        <is>
          <t>2026-02-19</t>
        </is>
      </c>
      <c r="C32" t="inlineStr">
        <is>
          <t>2026-02</t>
        </is>
      </c>
      <c r="D32" t="inlineStr">
        <is>
          <t>SAL</t>
        </is>
      </c>
      <c r="E32" t="inlineStr">
        <is>
          <t>4000</t>
        </is>
      </c>
      <c r="F32" t="inlineStr">
        <is>
          <t>Sales - contract customers</t>
        </is>
      </c>
      <c r="G32" t="inlineStr">
        <is>
          <t>SALES</t>
        </is>
      </c>
      <c r="H32" t="inlineStr">
        <is>
          <t>Belvedere Hotel Group</t>
        </is>
      </c>
      <c r="I32" t="inlineStr">
        <is>
          <t>SI-2602364</t>
        </is>
      </c>
      <c r="J32" t="inlineStr">
        <is>
          <t>Contract delivery</t>
        </is>
      </c>
      <c r="K32" t="n">
        <v>0</v>
      </c>
      <c r="L32" t="n">
        <v>95720.3</v>
      </c>
      <c r="M32">
        <f>IFERROR(VLOOKUP(E32,Mapping!$A:$B,2,FALSE),"UNMAPPED")</f>
        <v/>
      </c>
      <c r="N32">
        <f>L32-K32</f>
        <v/>
      </c>
    </row>
    <row r="33">
      <c r="A33" t="inlineStr">
        <is>
          <t>JE-202602-0032</t>
        </is>
      </c>
      <c r="B33" t="inlineStr">
        <is>
          <t>2026-02-19</t>
        </is>
      </c>
      <c r="C33" t="inlineStr">
        <is>
          <t>2026-02</t>
        </is>
      </c>
      <c r="D33" t="inlineStr">
        <is>
          <t>PUR</t>
        </is>
      </c>
      <c r="E33" t="inlineStr">
        <is>
          <t>5000</t>
        </is>
      </c>
      <c r="F33" t="inlineStr">
        <is>
          <t>Purchases - timber and panels</t>
        </is>
      </c>
      <c r="G33" t="inlineStr">
        <is>
          <t>PROD</t>
        </is>
      </c>
      <c r="H33" t="inlineStr">
        <is>
          <t>Oakfield Panels</t>
        </is>
      </c>
      <c r="I33" t="inlineStr">
        <is>
          <t>PI-26027421</t>
        </is>
      </c>
      <c r="J33" t="inlineStr">
        <is>
          <t>Panels and boards</t>
        </is>
      </c>
      <c r="K33" t="n">
        <v>31337.78</v>
      </c>
      <c r="L33" t="n">
        <v>0</v>
      </c>
      <c r="M33">
        <f>IFERROR(VLOOKUP(E33,Mapping!$A:$B,2,FALSE),"UNMAPPED")</f>
        <v/>
      </c>
      <c r="N33">
        <f>L33-K33</f>
        <v/>
      </c>
    </row>
    <row r="34">
      <c r="A34" t="inlineStr">
        <is>
          <t>JE-202602-0033</t>
        </is>
      </c>
      <c r="B34" t="inlineStr">
        <is>
          <t>2026-02-19</t>
        </is>
      </c>
      <c r="C34" t="inlineStr">
        <is>
          <t>2026-02</t>
        </is>
      </c>
      <c r="D34" t="inlineStr">
        <is>
          <t>PUR</t>
        </is>
      </c>
      <c r="E34" t="inlineStr">
        <is>
          <t>6300</t>
        </is>
      </c>
      <c r="F34" t="inlineStr">
        <is>
          <t>Other overheads</t>
        </is>
      </c>
      <c r="G34" t="inlineStr">
        <is>
          <t>ADMIN</t>
        </is>
      </c>
      <c r="H34" t="inlineStr"/>
      <c r="I34" t="inlineStr">
        <is>
          <t>PI-26021853</t>
        </is>
      </c>
      <c r="J34" t="inlineStr">
        <is>
          <t>Overheads</t>
        </is>
      </c>
      <c r="K34" t="n">
        <v>6114.12</v>
      </c>
      <c r="L34" t="n">
        <v>0</v>
      </c>
      <c r="M34">
        <f>IFERROR(VLOOKUP(E34,Mapping!$A:$B,2,FALSE),"UNMAPPED")</f>
        <v/>
      </c>
      <c r="N34">
        <f>L34-K34</f>
        <v/>
      </c>
    </row>
    <row r="35">
      <c r="A35" t="inlineStr">
        <is>
          <t>JE-202602-0034</t>
        </is>
      </c>
      <c r="B35" t="inlineStr">
        <is>
          <t>2026-02-20</t>
        </is>
      </c>
      <c r="C35" t="inlineStr">
        <is>
          <t>2026-02</t>
        </is>
      </c>
      <c r="D35" t="inlineStr">
        <is>
          <t>SAL</t>
        </is>
      </c>
      <c r="E35" t="inlineStr">
        <is>
          <t>4000</t>
        </is>
      </c>
      <c r="F35" t="inlineStr">
        <is>
          <t>Sales - contract customers</t>
        </is>
      </c>
      <c r="G35" t="inlineStr">
        <is>
          <t>SALES</t>
        </is>
      </c>
      <c r="H35" t="inlineStr">
        <is>
          <t>Harbour City Council</t>
        </is>
      </c>
      <c r="I35" t="inlineStr">
        <is>
          <t>SI-2602243</t>
        </is>
      </c>
      <c r="J35" t="inlineStr">
        <is>
          <t>Contract delivery</t>
        </is>
      </c>
      <c r="K35" t="n">
        <v>0</v>
      </c>
      <c r="L35" t="n">
        <v>57465.01</v>
      </c>
      <c r="M35">
        <f>IFERROR(VLOOKUP(E35,Mapping!$A:$B,2,FALSE),"UNMAPPED")</f>
        <v/>
      </c>
      <c r="N35">
        <f>L35-K35</f>
        <v/>
      </c>
    </row>
    <row r="36">
      <c r="A36" t="inlineStr">
        <is>
          <t>JE-202602-0035</t>
        </is>
      </c>
      <c r="B36" t="inlineStr">
        <is>
          <t>2026-02-23</t>
        </is>
      </c>
      <c r="C36" t="inlineStr">
        <is>
          <t>2026-02</t>
        </is>
      </c>
      <c r="D36" t="inlineStr">
        <is>
          <t>PUR</t>
        </is>
      </c>
      <c r="E36" t="inlineStr">
        <is>
          <t>5010</t>
        </is>
      </c>
      <c r="F36" t="inlineStr">
        <is>
          <t>Purchases - metal fittings</t>
        </is>
      </c>
      <c r="G36" t="inlineStr">
        <is>
          <t>PROD</t>
        </is>
      </c>
      <c r="H36" t="inlineStr">
        <is>
          <t>Halvorsen Fittings</t>
        </is>
      </c>
      <c r="I36" t="inlineStr">
        <is>
          <t>PI-26027181</t>
        </is>
      </c>
      <c r="J36" t="inlineStr">
        <is>
          <t>Hinges, frames and fittings</t>
        </is>
      </c>
      <c r="K36" t="n">
        <v>22625.51</v>
      </c>
      <c r="L36" t="n">
        <v>0</v>
      </c>
      <c r="M36">
        <f>IFERROR(VLOOKUP(E36,Mapping!$A:$B,2,FALSE),"UNMAPPED")</f>
        <v/>
      </c>
      <c r="N36">
        <f>L36-K36</f>
        <v/>
      </c>
    </row>
    <row r="37">
      <c r="A37" t="inlineStr">
        <is>
          <t>JE-202602-0036</t>
        </is>
      </c>
      <c r="B37" t="inlineStr">
        <is>
          <t>2026-02-23</t>
        </is>
      </c>
      <c r="C37" t="inlineStr">
        <is>
          <t>2026-02</t>
        </is>
      </c>
      <c r="D37" t="inlineStr">
        <is>
          <t>PUR</t>
        </is>
      </c>
      <c r="E37" t="inlineStr">
        <is>
          <t>6300</t>
        </is>
      </c>
      <c r="F37" t="inlineStr">
        <is>
          <t>Other overheads</t>
        </is>
      </c>
      <c r="G37" t="inlineStr">
        <is>
          <t>ADMIN</t>
        </is>
      </c>
      <c r="H37" t="inlineStr"/>
      <c r="I37" t="inlineStr">
        <is>
          <t>PI-26029384</t>
        </is>
      </c>
      <c r="J37" t="inlineStr">
        <is>
          <t>Overheads</t>
        </is>
      </c>
      <c r="K37" t="n">
        <v>5089.3</v>
      </c>
      <c r="L37" t="n">
        <v>0</v>
      </c>
      <c r="M37">
        <f>IFERROR(VLOOKUP(E37,Mapping!$A:$B,2,FALSE),"UNMAPPED")</f>
        <v/>
      </c>
      <c r="N37">
        <f>L37-K37</f>
        <v/>
      </c>
    </row>
    <row r="38">
      <c r="A38" t="inlineStr">
        <is>
          <t>JE-202602-0037</t>
        </is>
      </c>
      <c r="B38" t="inlineStr">
        <is>
          <t>2026-02-24</t>
        </is>
      </c>
      <c r="C38" t="inlineStr">
        <is>
          <t>2026-02</t>
        </is>
      </c>
      <c r="D38" t="inlineStr">
        <is>
          <t>SAL</t>
        </is>
      </c>
      <c r="E38" t="inlineStr">
        <is>
          <t>4000</t>
        </is>
      </c>
      <c r="F38" t="inlineStr">
        <is>
          <t>Sales - contract customers</t>
        </is>
      </c>
      <c r="G38" t="inlineStr">
        <is>
          <t>SALES</t>
        </is>
      </c>
      <c r="H38" t="inlineStr">
        <is>
          <t>Quayside Co-working</t>
        </is>
      </c>
      <c r="I38" t="inlineStr">
        <is>
          <t>SI-2602836</t>
        </is>
      </c>
      <c r="J38" t="inlineStr">
        <is>
          <t>Contract delivery</t>
        </is>
      </c>
      <c r="K38" t="n">
        <v>0</v>
      </c>
      <c r="L38" t="n">
        <v>87206.47</v>
      </c>
      <c r="M38">
        <f>IFERROR(VLOOKUP(E38,Mapping!$A:$B,2,FALSE),"UNMAPPED")</f>
        <v/>
      </c>
      <c r="N38">
        <f>L38-K38</f>
        <v/>
      </c>
    </row>
    <row r="39">
      <c r="A39" t="inlineStr">
        <is>
          <t>JE-202602-0038</t>
        </is>
      </c>
      <c r="B39" t="inlineStr">
        <is>
          <t>2026-02-24</t>
        </is>
      </c>
      <c r="C39" t="inlineStr">
        <is>
          <t>2026-02</t>
        </is>
      </c>
      <c r="D39" t="inlineStr">
        <is>
          <t>PUR</t>
        </is>
      </c>
      <c r="E39" t="inlineStr">
        <is>
          <t>5200</t>
        </is>
      </c>
      <c r="F39" t="inlineStr">
        <is>
          <t>Carriage outwards</t>
        </is>
      </c>
      <c r="G39" t="inlineStr">
        <is>
          <t>LOG</t>
        </is>
      </c>
      <c r="H39" t="inlineStr">
        <is>
          <t>Atlantic Freight Services</t>
        </is>
      </c>
      <c r="I39" t="inlineStr">
        <is>
          <t>PI-26021659</t>
        </is>
      </c>
      <c r="J39" t="inlineStr">
        <is>
          <t>Standard road freight</t>
        </is>
      </c>
      <c r="K39" t="n">
        <v>11304.14</v>
      </c>
      <c r="L39" t="n">
        <v>0</v>
      </c>
      <c r="M39">
        <f>IFERROR(VLOOKUP(E39,Mapping!$A:$B,2,FALSE),"UNMAPPED")</f>
        <v/>
      </c>
      <c r="N39">
        <f>L39-K39</f>
        <v/>
      </c>
    </row>
    <row r="40">
      <c r="A40" t="inlineStr">
        <is>
          <t>JE-202602-0039</t>
        </is>
      </c>
      <c r="B40" t="inlineStr">
        <is>
          <t>2026-02-24</t>
        </is>
      </c>
      <c r="C40" t="inlineStr">
        <is>
          <t>2026-02</t>
        </is>
      </c>
      <c r="D40" t="inlineStr">
        <is>
          <t>PUR</t>
        </is>
      </c>
      <c r="E40" t="inlineStr">
        <is>
          <t>6100</t>
        </is>
      </c>
      <c r="F40" t="inlineStr">
        <is>
          <t>Audit, legal and consulting fees</t>
        </is>
      </c>
      <c r="G40" t="inlineStr">
        <is>
          <t>ADMIN</t>
        </is>
      </c>
      <c r="H40" t="inlineStr">
        <is>
          <t>Quay Legal LLP</t>
        </is>
      </c>
      <c r="I40" t="inlineStr">
        <is>
          <t>PI-26024930</t>
        </is>
      </c>
      <c r="J40" t="inlineStr">
        <is>
          <t>Monthly retainer</t>
        </is>
      </c>
      <c r="K40" t="n">
        <v>5393.96</v>
      </c>
      <c r="L40" t="n">
        <v>0</v>
      </c>
      <c r="M40">
        <f>IFERROR(VLOOKUP(E40,Mapping!$A:$B,2,FALSE),"UNMAPPED")</f>
        <v/>
      </c>
      <c r="N40">
        <f>L40-K40</f>
        <v/>
      </c>
    </row>
    <row r="41">
      <c r="A41" t="inlineStr">
        <is>
          <t>JE-202602-0040</t>
        </is>
      </c>
      <c r="B41" t="inlineStr">
        <is>
          <t>2026-02-25</t>
        </is>
      </c>
      <c r="C41" t="inlineStr">
        <is>
          <t>2026-02</t>
        </is>
      </c>
      <c r="D41" t="inlineStr">
        <is>
          <t>SAL</t>
        </is>
      </c>
      <c r="E41" t="inlineStr">
        <is>
          <t>4010</t>
        </is>
      </c>
      <c r="F41" t="inlineStr">
        <is>
          <t>Sales - dealers</t>
        </is>
      </c>
      <c r="G41" t="inlineStr">
        <is>
          <t>SALES</t>
        </is>
      </c>
      <c r="H41" t="inlineStr">
        <is>
          <t>Workspace Hub Retail</t>
        </is>
      </c>
      <c r="I41" t="inlineStr">
        <is>
          <t>SI-2602929</t>
        </is>
      </c>
      <c r="J41" t="inlineStr">
        <is>
          <t>Dealer order</t>
        </is>
      </c>
      <c r="K41" t="n">
        <v>0</v>
      </c>
      <c r="L41" t="n">
        <v>56024.89</v>
      </c>
      <c r="M41">
        <f>IFERROR(VLOOKUP(E41,Mapping!$A:$B,2,FALSE),"UNMAPPED")</f>
        <v/>
      </c>
      <c r="N41">
        <f>L41-K41</f>
        <v/>
      </c>
    </row>
    <row r="42">
      <c r="A42" t="inlineStr">
        <is>
          <t>JE-202602-0041</t>
        </is>
      </c>
      <c r="B42" t="inlineStr">
        <is>
          <t>2026-02-25</t>
        </is>
      </c>
      <c r="C42" t="inlineStr">
        <is>
          <t>2026-02</t>
        </is>
      </c>
      <c r="D42" t="inlineStr">
        <is>
          <t>PUR</t>
        </is>
      </c>
      <c r="E42" t="inlineStr">
        <is>
          <t>5000</t>
        </is>
      </c>
      <c r="F42" t="inlineStr">
        <is>
          <t>Purchases - timber and panels</t>
        </is>
      </c>
      <c r="G42" t="inlineStr">
        <is>
          <t>PROD</t>
        </is>
      </c>
      <c r="H42" t="inlineStr">
        <is>
          <t>Brightwood Timber Ltd</t>
        </is>
      </c>
      <c r="I42" t="inlineStr">
        <is>
          <t>BW-INV-10690</t>
        </is>
      </c>
      <c r="J42" t="inlineStr">
        <is>
          <t>Oak and birch veneer panels - price list 2026-02</t>
        </is>
      </c>
      <c r="K42" t="n">
        <v>52200</v>
      </c>
      <c r="L42" t="n">
        <v>0</v>
      </c>
      <c r="M42">
        <f>IFERROR(VLOOKUP(E42,Mapping!$A:$B,2,FALSE),"UNMAPPED")</f>
        <v/>
      </c>
      <c r="N42">
        <f>L42-K42</f>
        <v/>
      </c>
    </row>
    <row r="43">
      <c r="A43" t="inlineStr">
        <is>
          <t>JE-202602-0042</t>
        </is>
      </c>
      <c r="B43" t="inlineStr">
        <is>
          <t>2026-02-25</t>
        </is>
      </c>
      <c r="C43" t="inlineStr">
        <is>
          <t>2026-02</t>
        </is>
      </c>
      <c r="D43" t="inlineStr">
        <is>
          <t>PUR</t>
        </is>
      </c>
      <c r="E43" t="inlineStr">
        <is>
          <t>5000</t>
        </is>
      </c>
      <c r="F43" t="inlineStr">
        <is>
          <t>Purchases - timber and panels</t>
        </is>
      </c>
      <c r="G43" t="inlineStr">
        <is>
          <t>PROD</t>
        </is>
      </c>
      <c r="H43" t="inlineStr">
        <is>
          <t>Nordboard Supplies</t>
        </is>
      </c>
      <c r="I43" t="inlineStr">
        <is>
          <t>PI-26027163</t>
        </is>
      </c>
      <c r="J43" t="inlineStr">
        <is>
          <t>Panels and boards</t>
        </is>
      </c>
      <c r="K43" t="n">
        <v>25514.28</v>
      </c>
      <c r="L43" t="n">
        <v>0</v>
      </c>
      <c r="M43">
        <f>IFERROR(VLOOKUP(E43,Mapping!$A:$B,2,FALSE),"UNMAPPED")</f>
        <v/>
      </c>
      <c r="N43">
        <f>L43-K43</f>
        <v/>
      </c>
    </row>
    <row r="44">
      <c r="A44" t="inlineStr">
        <is>
          <t>JE-202602-0043</t>
        </is>
      </c>
      <c r="B44" t="inlineStr">
        <is>
          <t>2026-02-26</t>
        </is>
      </c>
      <c r="C44" t="inlineStr">
        <is>
          <t>2026-02</t>
        </is>
      </c>
      <c r="D44" t="inlineStr">
        <is>
          <t>PUR</t>
        </is>
      </c>
      <c r="E44" t="inlineStr">
        <is>
          <t>5110</t>
        </is>
      </c>
      <c r="F44" t="inlineStr">
        <is>
          <t>Temporary staff</t>
        </is>
      </c>
      <c r="G44" t="inlineStr">
        <is>
          <t>PROD</t>
        </is>
      </c>
      <c r="H44" t="inlineStr">
        <is>
          <t>StaffBridge Recruitment</t>
        </is>
      </c>
      <c r="I44" t="inlineStr">
        <is>
          <t>PI-26024964</t>
        </is>
      </c>
      <c r="J44" t="inlineStr">
        <is>
          <t>Holiday cover operative</t>
        </is>
      </c>
      <c r="K44" t="n">
        <v>8200</v>
      </c>
      <c r="L44" t="n">
        <v>0</v>
      </c>
      <c r="M44">
        <f>IFERROR(VLOOKUP(E44,Mapping!$A:$B,2,FALSE),"UNMAPPED")</f>
        <v/>
      </c>
      <c r="N44">
        <f>L44-K44</f>
        <v/>
      </c>
    </row>
    <row r="45">
      <c r="A45" t="inlineStr">
        <is>
          <t>JE-202602-0044</t>
        </is>
      </c>
      <c r="B45" t="inlineStr">
        <is>
          <t>2026-02-27</t>
        </is>
      </c>
      <c r="C45" t="inlineStr">
        <is>
          <t>2026-02</t>
        </is>
      </c>
      <c r="D45" t="inlineStr">
        <is>
          <t>SAL</t>
        </is>
      </c>
      <c r="E45" t="inlineStr">
        <is>
          <t>4000</t>
        </is>
      </c>
      <c r="F45" t="inlineStr">
        <is>
          <t>Sales - contract customers</t>
        </is>
      </c>
      <c r="G45" t="inlineStr">
        <is>
          <t>SALES</t>
        </is>
      </c>
      <c r="H45" t="inlineStr">
        <is>
          <t>Meridian Insurance</t>
        </is>
      </c>
      <c r="I45" t="inlineStr">
        <is>
          <t>SI-2602843</t>
        </is>
      </c>
      <c r="J45" t="inlineStr">
        <is>
          <t>Contract delivery</t>
        </is>
      </c>
      <c r="K45" t="n">
        <v>0</v>
      </c>
      <c r="L45" t="n">
        <v>102411.94</v>
      </c>
      <c r="M45">
        <f>IFERROR(VLOOKUP(E45,Mapping!$A:$B,2,FALSE),"UNMAPPED")</f>
        <v/>
      </c>
      <c r="N45">
        <f>L45-K45</f>
        <v/>
      </c>
    </row>
    <row r="46">
      <c r="A46" t="inlineStr">
        <is>
          <t>JE-202602-0045</t>
        </is>
      </c>
      <c r="B46" t="inlineStr">
        <is>
          <t>2026-02-27</t>
        </is>
      </c>
      <c r="C46" t="inlineStr">
        <is>
          <t>2026-02</t>
        </is>
      </c>
      <c r="D46" t="inlineStr">
        <is>
          <t>SAL</t>
        </is>
      </c>
      <c r="E46" t="inlineStr">
        <is>
          <t>4010</t>
        </is>
      </c>
      <c r="F46" t="inlineStr">
        <is>
          <t>Sales - dealers</t>
        </is>
      </c>
      <c r="G46" t="inlineStr">
        <is>
          <t>SALES</t>
        </is>
      </c>
      <c r="H46" t="inlineStr">
        <is>
          <t>DeskWorks Dealers</t>
        </is>
      </c>
      <c r="I46" t="inlineStr">
        <is>
          <t>SI-2602174</t>
        </is>
      </c>
      <c r="J46" t="inlineStr">
        <is>
          <t>Dealer order</t>
        </is>
      </c>
      <c r="K46" t="n">
        <v>0</v>
      </c>
      <c r="L46" t="n">
        <v>85143.41</v>
      </c>
      <c r="M46">
        <f>IFERROR(VLOOKUP(E46,Mapping!$A:$B,2,FALSE),"UNMAPPED")</f>
        <v/>
      </c>
      <c r="N46">
        <f>L46-K46</f>
        <v/>
      </c>
    </row>
    <row r="47">
      <c r="A47" t="inlineStr">
        <is>
          <t>JE-202602-0046</t>
        </is>
      </c>
      <c r="B47" t="inlineStr">
        <is>
          <t>2026-02-27</t>
        </is>
      </c>
      <c r="C47" t="inlineStr">
        <is>
          <t>2026-02</t>
        </is>
      </c>
      <c r="D47" t="inlineStr">
        <is>
          <t>PAY</t>
        </is>
      </c>
      <c r="E47" t="inlineStr">
        <is>
          <t>5100</t>
        </is>
      </c>
      <c r="F47" t="inlineStr">
        <is>
          <t>Wages - production</t>
        </is>
      </c>
      <c r="G47" t="inlineStr">
        <is>
          <t>PROD</t>
        </is>
      </c>
      <c r="H47" t="inlineStr"/>
      <c r="I47" t="inlineStr">
        <is>
          <t>PAY-202602-1</t>
        </is>
      </c>
      <c r="J47" t="inlineStr">
        <is>
          <t>Production payroll</t>
        </is>
      </c>
      <c r="K47" t="n">
        <v>162739.93</v>
      </c>
      <c r="L47" t="n">
        <v>0</v>
      </c>
      <c r="M47">
        <f>IFERROR(VLOOKUP(E47,Mapping!$A:$B,2,FALSE),"UNMAPPED")</f>
        <v/>
      </c>
      <c r="N47">
        <f>L47-K47</f>
        <v/>
      </c>
    </row>
    <row r="48">
      <c r="A48" t="inlineStr">
        <is>
          <t>JE-202602-0047</t>
        </is>
      </c>
      <c r="B48" t="inlineStr">
        <is>
          <t>2026-02-27</t>
        </is>
      </c>
      <c r="C48" t="inlineStr">
        <is>
          <t>2026-02</t>
        </is>
      </c>
      <c r="D48" t="inlineStr">
        <is>
          <t>PAY</t>
        </is>
      </c>
      <c r="E48" t="inlineStr">
        <is>
          <t>5100</t>
        </is>
      </c>
      <c r="F48" t="inlineStr">
        <is>
          <t>Wages - production</t>
        </is>
      </c>
      <c r="G48" t="inlineStr">
        <is>
          <t>PROD</t>
        </is>
      </c>
      <c r="H48" t="inlineStr"/>
      <c r="I48" t="inlineStr">
        <is>
          <t>PAY-202602-2</t>
        </is>
      </c>
      <c r="J48" t="inlineStr">
        <is>
          <t>Production payroll</t>
        </is>
      </c>
      <c r="K48" t="n">
        <v>92860.07000000001</v>
      </c>
      <c r="L48" t="n">
        <v>0</v>
      </c>
      <c r="M48">
        <f>IFERROR(VLOOKUP(E48,Mapping!$A:$B,2,FALSE),"UNMAPPED")</f>
        <v/>
      </c>
      <c r="N48">
        <f>L48-K48</f>
        <v/>
      </c>
    </row>
    <row r="49">
      <c r="A49" t="inlineStr">
        <is>
          <t>JE-202602-0048</t>
        </is>
      </c>
      <c r="B49" t="inlineStr">
        <is>
          <t>2026-02-27</t>
        </is>
      </c>
      <c r="C49" t="inlineStr">
        <is>
          <t>2026-02</t>
        </is>
      </c>
      <c r="D49" t="inlineStr">
        <is>
          <t>PUR</t>
        </is>
      </c>
      <c r="E49" t="inlineStr">
        <is>
          <t>6300</t>
        </is>
      </c>
      <c r="F49" t="inlineStr">
        <is>
          <t>Other overheads</t>
        </is>
      </c>
      <c r="G49" t="inlineStr">
        <is>
          <t>ADMIN</t>
        </is>
      </c>
      <c r="H49" t="inlineStr"/>
      <c r="I49" t="inlineStr">
        <is>
          <t>PI-26027563</t>
        </is>
      </c>
      <c r="J49" t="inlineStr">
        <is>
          <t>Overheads</t>
        </is>
      </c>
      <c r="K49" t="n">
        <v>5631.3</v>
      </c>
      <c r="L49" t="n">
        <v>0</v>
      </c>
      <c r="M49">
        <f>IFERROR(VLOOKUP(E49,Mapping!$A:$B,2,FALSE),"UNMAPPED")</f>
        <v/>
      </c>
      <c r="N49">
        <f>L49-K49</f>
        <v/>
      </c>
    </row>
    <row r="50">
      <c r="A50" t="inlineStr">
        <is>
          <t>JE-202602-0049</t>
        </is>
      </c>
      <c r="B50" t="inlineStr">
        <is>
          <t>2026-02-27</t>
        </is>
      </c>
      <c r="C50" t="inlineStr">
        <is>
          <t>2026-02</t>
        </is>
      </c>
      <c r="D50" t="inlineStr">
        <is>
          <t>PAY</t>
        </is>
      </c>
      <c r="E50" t="inlineStr">
        <is>
          <t>6400</t>
        </is>
      </c>
      <c r="F50" t="inlineStr">
        <is>
          <t>Salaries - administration and sales</t>
        </is>
      </c>
      <c r="G50" t="inlineStr">
        <is>
          <t>ADMIN</t>
        </is>
      </c>
      <c r="H50" t="inlineStr"/>
      <c r="I50" t="inlineStr">
        <is>
          <t>PAY-202602-1</t>
        </is>
      </c>
      <c r="J50" t="inlineStr">
        <is>
          <t>Admin and sales payroll</t>
        </is>
      </c>
      <c r="K50" t="n">
        <v>56146.68</v>
      </c>
      <c r="L50" t="n">
        <v>0</v>
      </c>
      <c r="M50">
        <f>IFERROR(VLOOKUP(E50,Mapping!$A:$B,2,FALSE),"UNMAPPED")</f>
        <v/>
      </c>
      <c r="N50">
        <f>L50-K50</f>
        <v/>
      </c>
    </row>
    <row r="51">
      <c r="A51" t="inlineStr">
        <is>
          <t>JE-202602-0050</t>
        </is>
      </c>
      <c r="B51" t="inlineStr">
        <is>
          <t>2026-02-27</t>
        </is>
      </c>
      <c r="C51" t="inlineStr">
        <is>
          <t>2026-02</t>
        </is>
      </c>
      <c r="D51" t="inlineStr">
        <is>
          <t>PAY</t>
        </is>
      </c>
      <c r="E51" t="inlineStr">
        <is>
          <t>6400</t>
        </is>
      </c>
      <c r="F51" t="inlineStr">
        <is>
          <t>Salaries - administration and sales</t>
        </is>
      </c>
      <c r="G51" t="inlineStr">
        <is>
          <t>ADMIN</t>
        </is>
      </c>
      <c r="H51" t="inlineStr"/>
      <c r="I51" t="inlineStr">
        <is>
          <t>PAY-202602-2</t>
        </is>
      </c>
      <c r="J51" t="inlineStr">
        <is>
          <t>Admin and sales payroll</t>
        </is>
      </c>
      <c r="K51" t="n">
        <v>63853.32</v>
      </c>
      <c r="L51" t="n">
        <v>0</v>
      </c>
      <c r="M51">
        <f>IFERROR(VLOOKUP(E51,Mapping!$A:$B,2,FALSE),"UNMAPPED")</f>
        <v/>
      </c>
      <c r="N51">
        <f>L51-K51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</cols>
  <sheetData>
    <row r="1">
      <c r="A1" s="2" t="inlineStr">
        <is>
          <t>account</t>
        </is>
      </c>
      <c r="B1" s="2" t="inlineStr">
        <is>
          <t>line_code</t>
        </is>
      </c>
      <c r="C1" s="2" t="inlineStr">
        <is>
          <t>line_name</t>
        </is>
      </c>
    </row>
    <row r="2">
      <c r="A2" t="inlineStr">
        <is>
          <t>4000</t>
        </is>
      </c>
      <c r="B2" t="inlineStr">
        <is>
          <t>REV_CONTRACT</t>
        </is>
      </c>
      <c r="C2" t="inlineStr">
        <is>
          <t>Revenue - Contract</t>
        </is>
      </c>
    </row>
    <row r="3">
      <c r="A3" t="inlineStr">
        <is>
          <t>4010</t>
        </is>
      </c>
      <c r="B3" t="inlineStr">
        <is>
          <t>REV_DEALER</t>
        </is>
      </c>
      <c r="C3" t="inlineStr">
        <is>
          <t>Revenue - Dealers</t>
        </is>
      </c>
    </row>
    <row r="4">
      <c r="A4" t="inlineStr">
        <is>
          <t>5000</t>
        </is>
      </c>
      <c r="B4" t="inlineStr">
        <is>
          <t>MAT_TIMBER</t>
        </is>
      </c>
      <c r="C4" t="inlineStr">
        <is>
          <t>Timber &amp; panels</t>
        </is>
      </c>
    </row>
    <row r="5">
      <c r="A5" t="inlineStr">
        <is>
          <t>5010</t>
        </is>
      </c>
      <c r="B5" t="inlineStr">
        <is>
          <t>MAT_FITTINGS</t>
        </is>
      </c>
      <c r="C5" t="inlineStr">
        <is>
          <t>Metal fittings &amp; hardware</t>
        </is>
      </c>
    </row>
    <row r="6">
      <c r="A6" t="inlineStr">
        <is>
          <t>5100</t>
        </is>
      </c>
      <c r="B6" t="inlineStr">
        <is>
          <t>LAB_DIRECT</t>
        </is>
      </c>
      <c r="C6" t="inlineStr">
        <is>
          <t>Direct labour</t>
        </is>
      </c>
    </row>
    <row r="7">
      <c r="A7" t="inlineStr">
        <is>
          <t>5110</t>
        </is>
      </c>
      <c r="B7" t="inlineStr">
        <is>
          <t>LAB_TEMP</t>
        </is>
      </c>
      <c r="C7" t="inlineStr">
        <is>
          <t>Temporary labour</t>
        </is>
      </c>
    </row>
    <row r="8">
      <c r="A8" t="inlineStr">
        <is>
          <t>5200</t>
        </is>
      </c>
      <c r="B8" t="inlineStr">
        <is>
          <t>FREIGHT</t>
        </is>
      </c>
      <c r="C8" t="inlineStr">
        <is>
          <t>Freight out</t>
        </is>
      </c>
    </row>
    <row r="9">
      <c r="A9" t="inlineStr">
        <is>
          <t>6000</t>
        </is>
      </c>
      <c r="B9" t="inlineStr">
        <is>
          <t>ENERGY</t>
        </is>
      </c>
      <c r="C9" t="inlineStr">
        <is>
          <t>Energy</t>
        </is>
      </c>
    </row>
    <row r="10">
      <c r="A10" t="inlineStr">
        <is>
          <t>6100</t>
        </is>
      </c>
      <c r="B10" t="inlineStr">
        <is>
          <t>FEES</t>
        </is>
      </c>
      <c r="C10" t="inlineStr">
        <is>
          <t>Professional fees</t>
        </is>
      </c>
    </row>
    <row r="11">
      <c r="A11" t="inlineStr">
        <is>
          <t>6200</t>
        </is>
      </c>
      <c r="B11" t="inlineStr">
        <is>
          <t>RENT</t>
        </is>
      </c>
      <c r="C11" t="inlineStr">
        <is>
          <t>Rent &amp; facilities</t>
        </is>
      </c>
    </row>
    <row r="12">
      <c r="A12" t="inlineStr">
        <is>
          <t>6300</t>
        </is>
      </c>
      <c r="B12" t="inlineStr">
        <is>
          <t>OTHER</t>
        </is>
      </c>
      <c r="C12" t="inlineStr">
        <is>
          <t>Other overheads</t>
        </is>
      </c>
    </row>
    <row r="13">
      <c r="A13" t="inlineStr">
        <is>
          <t>6400</t>
        </is>
      </c>
      <c r="B13" t="inlineStr">
        <is>
          <t>LAB_ADMIN</t>
        </is>
      </c>
      <c r="C13" t="inlineStr">
        <is>
          <t>Salaries - admin &amp;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13" customWidth="1" min="4" max="4"/>
    <col width="13" customWidth="1" min="5" max="5"/>
    <col width="15" customWidth="1" min="6" max="6"/>
    <col width="11" customWidth="1" min="7" max="7"/>
    <col width="15" customWidth="1" min="8" max="8"/>
  </cols>
  <sheetData>
    <row r="1">
      <c r="A1" s="2" t="inlineStr">
        <is>
          <t>line_code</t>
        </is>
      </c>
      <c r="B1" s="2" t="inlineStr">
        <is>
          <t>line_name</t>
        </is>
      </c>
      <c r="C1" s="2" t="inlineStr">
        <is>
          <t>sign</t>
        </is>
      </c>
      <c r="D1" s="2" t="inlineStr">
        <is>
          <t>actual</t>
        </is>
      </c>
      <c r="E1" s="2" t="inlineStr">
        <is>
          <t>budget</t>
        </is>
      </c>
      <c r="F1" s="2" t="inlineStr">
        <is>
          <t>variance (fav +)</t>
        </is>
      </c>
      <c r="G1" s="2" t="inlineStr">
        <is>
          <t>variance %</t>
        </is>
      </c>
      <c r="H1" s="2" t="inlineStr">
        <is>
          <t>comment needed</t>
        </is>
      </c>
    </row>
    <row r="2">
      <c r="A2" t="inlineStr">
        <is>
          <t>REV_CONTRACT</t>
        </is>
      </c>
      <c r="B2" t="inlineStr">
        <is>
          <t>Revenue - Contract</t>
        </is>
      </c>
      <c r="C2" t="n">
        <v>1</v>
      </c>
      <c r="D2" s="3">
        <f>SUMIFS(GL_import!$N$2:$N$51,GL_import!$M$2:$M$51,A2)*C2</f>
        <v/>
      </c>
      <c r="E2" s="3" t="n">
        <v>820000</v>
      </c>
      <c r="F2" s="3">
        <f>(D2-E2)*C2</f>
        <v/>
      </c>
      <c r="G2" s="4">
        <f>IF(E2=0,"",F2/E2)</f>
        <v/>
      </c>
      <c r="H2">
        <f>IF(ABS(F2)&gt;=5000,"YES","")</f>
        <v/>
      </c>
    </row>
    <row r="3">
      <c r="A3" t="inlineStr">
        <is>
          <t>REV_DEALER</t>
        </is>
      </c>
      <c r="B3" t="inlineStr">
        <is>
          <t>Revenue - Dealers</t>
        </is>
      </c>
      <c r="C3" t="n">
        <v>1</v>
      </c>
      <c r="D3" s="3">
        <f>SUMIFS(GL_import!$N$2:$N$51,GL_import!$M$2:$M$51,A3)*C3</f>
        <v/>
      </c>
      <c r="E3" s="3" t="n">
        <v>480000</v>
      </c>
      <c r="F3" s="3">
        <f>(D3-E3)*C3</f>
        <v/>
      </c>
      <c r="G3" s="4">
        <f>IF(E3=0,"",F3/E3)</f>
        <v/>
      </c>
      <c r="H3">
        <f>IF(ABS(F3)&gt;=5000,"YES","")</f>
        <v/>
      </c>
    </row>
    <row r="4">
      <c r="A4" t="inlineStr">
        <is>
          <t>REV_ONLINE</t>
        </is>
      </c>
      <c r="B4" t="inlineStr">
        <is>
          <t>Revenue - Online</t>
        </is>
      </c>
      <c r="C4" t="n">
        <v>1</v>
      </c>
      <c r="D4" s="3">
        <f>SUMIFS(GL_import!$N$2:$N$51,GL_import!$M$2:$M$51,A4)*C4</f>
        <v/>
      </c>
      <c r="E4" s="3" t="n">
        <v>0</v>
      </c>
      <c r="F4" s="3">
        <f>(D4-E4)*C4</f>
        <v/>
      </c>
      <c r="G4" s="4">
        <f>IF(E4=0,"",F4/E4)</f>
        <v/>
      </c>
      <c r="H4">
        <f>IF(ABS(F4)&gt;=5000,"YES","")</f>
        <v/>
      </c>
    </row>
    <row r="5">
      <c r="A5" t="inlineStr">
        <is>
          <t>MAT_TIMBER</t>
        </is>
      </c>
      <c r="B5" t="inlineStr">
        <is>
          <t>Timber &amp; panels</t>
        </is>
      </c>
      <c r="C5" t="n">
        <v>-1</v>
      </c>
      <c r="D5" s="3">
        <f>SUMIFS(GL_import!$N$2:$N$51,GL_import!$M$2:$M$51,A5)*C5</f>
        <v/>
      </c>
      <c r="E5" s="3" t="n">
        <v>290000</v>
      </c>
      <c r="F5" s="3">
        <f>(D5-E5)*C5</f>
        <v/>
      </c>
      <c r="G5" s="4">
        <f>IF(E5=0,"",F5/E5)</f>
        <v/>
      </c>
      <c r="H5">
        <f>IF(ABS(F5)&gt;=5000,"YES","")</f>
        <v/>
      </c>
    </row>
    <row r="6">
      <c r="A6" t="inlineStr">
        <is>
          <t>MAT_FITTINGS</t>
        </is>
      </c>
      <c r="B6" t="inlineStr">
        <is>
          <t>Metal fittings &amp; hardware</t>
        </is>
      </c>
      <c r="C6" t="n">
        <v>-1</v>
      </c>
      <c r="D6" s="3">
        <f>SUMIFS(GL_import!$N$2:$N$51,GL_import!$M$2:$M$51,A6)*C6</f>
        <v/>
      </c>
      <c r="E6" s="3" t="n">
        <v>115000</v>
      </c>
      <c r="F6" s="3">
        <f>(D6-E6)*C6</f>
        <v/>
      </c>
      <c r="G6" s="4">
        <f>IF(E6=0,"",F6/E6)</f>
        <v/>
      </c>
      <c r="H6">
        <f>IF(ABS(F6)&gt;=5000,"YES","")</f>
        <v/>
      </c>
    </row>
    <row r="7">
      <c r="A7" t="inlineStr">
        <is>
          <t>LAB_DIRECT</t>
        </is>
      </c>
      <c r="B7" t="inlineStr">
        <is>
          <t>Direct labour</t>
        </is>
      </c>
      <c r="C7" t="n">
        <v>-1</v>
      </c>
      <c r="D7" s="3">
        <f>SUMIFS(GL_import!$N$2:$N$51,GL_import!$M$2:$M$51,A7)*C7</f>
        <v/>
      </c>
      <c r="E7" s="3" t="n">
        <v>255000</v>
      </c>
      <c r="F7" s="3">
        <f>(D7-E7)*C7</f>
        <v/>
      </c>
      <c r="G7" s="4">
        <f>IF(E7=0,"",F7/E7)</f>
        <v/>
      </c>
      <c r="H7">
        <f>IF(ABS(F7)&gt;=5000,"YES","")</f>
        <v/>
      </c>
    </row>
    <row r="8">
      <c r="A8" t="inlineStr">
        <is>
          <t>LAB_TEMP</t>
        </is>
      </c>
      <c r="B8" t="inlineStr">
        <is>
          <t>Temporary labour</t>
        </is>
      </c>
      <c r="C8" t="n">
        <v>-1</v>
      </c>
      <c r="D8" s="3">
        <f>SUMIFS(GL_import!$N$2:$N$51,GL_import!$M$2:$M$51,A8)*C8</f>
        <v/>
      </c>
      <c r="E8" s="3" t="n">
        <v>8000</v>
      </c>
      <c r="F8" s="3">
        <f>(D8-E8)*C8</f>
        <v/>
      </c>
      <c r="G8" s="4">
        <f>IF(E8=0,"",F8/E8)</f>
        <v/>
      </c>
      <c r="H8">
        <f>IF(ABS(F8)&gt;=5000,"YES","")</f>
        <v/>
      </c>
    </row>
    <row r="9">
      <c r="A9" t="inlineStr">
        <is>
          <t>FREIGHT</t>
        </is>
      </c>
      <c r="B9" t="inlineStr">
        <is>
          <t>Freight out</t>
        </is>
      </c>
      <c r="C9" t="n">
        <v>-1</v>
      </c>
      <c r="D9" s="3">
        <f>SUMIFS(GL_import!$N$2:$N$51,GL_import!$M$2:$M$51,A9)*C9</f>
        <v/>
      </c>
      <c r="E9" s="3" t="n">
        <v>44000</v>
      </c>
      <c r="F9" s="3">
        <f>(D9-E9)*C9</f>
        <v/>
      </c>
      <c r="G9" s="4">
        <f>IF(E9=0,"",F9/E9)</f>
        <v/>
      </c>
      <c r="H9">
        <f>IF(ABS(F9)&gt;=5000,"YES","")</f>
        <v/>
      </c>
    </row>
    <row r="10">
      <c r="A10" t="inlineStr">
        <is>
          <t>ENERGY</t>
        </is>
      </c>
      <c r="B10" t="inlineStr">
        <is>
          <t>Energy</t>
        </is>
      </c>
      <c r="C10" t="n">
        <v>-1</v>
      </c>
      <c r="D10" s="3">
        <f>SUMIFS(GL_import!$N$2:$N$51,GL_import!$M$2:$M$51,A10)*C10</f>
        <v/>
      </c>
      <c r="E10" s="3" t="n">
        <v>31000</v>
      </c>
      <c r="F10" s="3">
        <f>(D10-E10)*C10</f>
        <v/>
      </c>
      <c r="G10" s="4">
        <f>IF(E10=0,"",F10/E10)</f>
        <v/>
      </c>
      <c r="H10">
        <f>IF(ABS(F10)&gt;=5000,"YES","")</f>
        <v/>
      </c>
    </row>
    <row r="11">
      <c r="A11" t="inlineStr">
        <is>
          <t>FEES</t>
        </is>
      </c>
      <c r="B11" t="inlineStr">
        <is>
          <t>Professional fees</t>
        </is>
      </c>
      <c r="C11" t="n">
        <v>-1</v>
      </c>
      <c r="D11" s="3">
        <f>SUMIFS(GL_import!$N$2:$N$51,GL_import!$M$2:$M$51,A11)*C11</f>
        <v/>
      </c>
      <c r="E11" s="3" t="n">
        <v>15000</v>
      </c>
      <c r="F11" s="3">
        <f>(D11-E11)*C11</f>
        <v/>
      </c>
      <c r="G11" s="4">
        <f>IF(E11=0,"",F11/E11)</f>
        <v/>
      </c>
      <c r="H11">
        <f>IF(ABS(F11)&gt;=5000,"YES","")</f>
        <v/>
      </c>
    </row>
    <row r="12">
      <c r="A12" t="inlineStr">
        <is>
          <t>RENT</t>
        </is>
      </c>
      <c r="B12" t="inlineStr">
        <is>
          <t>Rent &amp; facilities</t>
        </is>
      </c>
      <c r="C12" t="n">
        <v>-1</v>
      </c>
      <c r="D12" s="3">
        <f>SUMIFS(GL_import!$N$2:$N$51,GL_import!$M$2:$M$51,A12)*C12</f>
        <v/>
      </c>
      <c r="E12" s="3" t="n">
        <v>40000</v>
      </c>
      <c r="F12" s="3">
        <f>(D12-E12)*C12</f>
        <v/>
      </c>
      <c r="G12" s="4">
        <f>IF(E12=0,"",F12/E12)</f>
        <v/>
      </c>
      <c r="H12">
        <f>IF(ABS(F12)&gt;=5000,"YES","")</f>
        <v/>
      </c>
    </row>
    <row r="13">
      <c r="A13" t="inlineStr">
        <is>
          <t>OTHER</t>
        </is>
      </c>
      <c r="B13" t="inlineStr">
        <is>
          <t>Other overheads</t>
        </is>
      </c>
      <c r="C13" t="n">
        <v>-1</v>
      </c>
      <c r="D13" s="3">
        <f>SUMIFS(GL_import!$N$2:$N$51,GL_import!$M$2:$M$51,A13)*C13</f>
        <v/>
      </c>
      <c r="E13" s="3" t="n">
        <v>58000</v>
      </c>
      <c r="F13" s="3">
        <f>(D13-E13)*C13</f>
        <v/>
      </c>
      <c r="G13" s="4">
        <f>IF(E13=0,"",F13/E13)</f>
        <v/>
      </c>
      <c r="H13">
        <f>IF(ABS(F13)&gt;=5000,"YES","")</f>
        <v/>
      </c>
    </row>
    <row r="14">
      <c r="A14" t="inlineStr">
        <is>
          <t>LAB_ADMIN</t>
        </is>
      </c>
      <c r="B14" t="inlineStr">
        <is>
          <t>Salaries - admin &amp; sales</t>
        </is>
      </c>
      <c r="C14" t="n">
        <v>-1</v>
      </c>
      <c r="D14" s="3">
        <f>SUMIFS(GL_import!$N$2:$N$51,GL_import!$M$2:$M$51,A14)*C14</f>
        <v/>
      </c>
      <c r="E14" s="3" t="n">
        <v>120000</v>
      </c>
      <c r="F14" s="3">
        <f>(D14-E14)*C14</f>
        <v/>
      </c>
      <c r="G14" s="4">
        <f>IF(E14=0,"",F14/E14)</f>
        <v/>
      </c>
      <c r="H14">
        <f>IF(ABS(F14)&gt;=5000,"YES","")</f>
        <v/>
      </c>
    </row>
    <row r="15">
      <c r="A15" t="inlineStr">
        <is>
          <t>UNMAPPED</t>
        </is>
      </c>
      <c r="B15" t="inlineStr">
        <is>
          <t>Accounts missing from Mapping</t>
        </is>
      </c>
      <c r="C15" t="n">
        <v>1</v>
      </c>
      <c r="D15" s="3">
        <f>SUMIFS(GL_import!$N$2:$N$51,GL_import!$M$2:$M$51,"UNMAPPED")</f>
        <v/>
      </c>
      <c r="E15" s="3" t="n">
        <v>0</v>
      </c>
      <c r="F15" s="3">
        <f>D15</f>
        <v/>
      </c>
      <c r="G15" s="4" t="inlineStr"/>
      <c r="H15">
        <f>IF(D15&lt;&gt;0,"FIX MAPPING","")</f>
        <v/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s="3">
        <f>SUMPRODUCT(D2:D15,C2:C15)</f>
        <v/>
      </c>
      <c r="E16" s="3">
        <f>SUMPRODUCT(E2:E14,C2:C14)</f>
        <v/>
      </c>
      <c r="F16" s="3">
        <f>D16-E16</f>
        <v/>
      </c>
      <c r="G16" s="4">
        <f>IF(E16=0,"",F16/E16)</f>
        <v/>
      </c>
      <c r="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70" customWidth="1" min="4" max="4"/>
    <col width="18" customWidth="1" min="5" max="5"/>
    <col width="40" customWidth="1" min="6" max="6"/>
  </cols>
  <sheetData>
    <row r="1">
      <c r="A1" s="2" t="inlineStr">
        <is>
          <t>line_code</t>
        </is>
      </c>
      <c r="B1" s="2" t="inlineStr">
        <is>
          <t>line_name</t>
        </is>
      </c>
      <c r="C1" s="2" t="inlineStr">
        <is>
          <t>variance (fav +)</t>
        </is>
      </c>
      <c r="D1" s="2" t="inlineStr">
        <is>
          <t>explanation</t>
        </is>
      </c>
      <c r="E1" s="2" t="inlineStr">
        <is>
          <t>repeats next month?</t>
        </is>
      </c>
      <c r="F1" s="2" t="inlineStr">
        <is>
          <t>source</t>
        </is>
      </c>
    </row>
    <row r="2">
      <c r="A2" s="5" t="inlineStr">
        <is>
          <t>MAT_TIMBER</t>
        </is>
      </c>
      <c r="B2" s="5" t="inlineStr">
        <is>
          <t>Timber &amp; panels</t>
        </is>
      </c>
      <c r="C2" s="5" t="n">
        <v>-11600</v>
      </c>
      <c r="D2" s="5" t="inlineStr">
        <is>
          <t>Brightwood Timber price list +8% on veneer panels from 1 February 2026 (letter of 28 January). About EUR 12k per month at normal volume. Niamh is negotiating a volume rebate.</t>
        </is>
      </c>
      <c r="E2" s="5" t="inlineStr">
        <is>
          <t>Yes, every month until a rebate or a new supplier</t>
        </is>
      </c>
      <c r="F2" s="5" t="inlineStr">
        <is>
          <t>Email E01 (Brightwood, 28 Jan) and E02 (Niamh, 29 Jan); GL account 5000, invoices BW-INV-10588/10631/10690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Claire Donnelly</dc:creator>
  <dc:title xmlns:dc="http://purl.org/dc/elements/1.1/">Close 2026-02</dc:title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2026-04-01T09:00:00Z</dcterms:modified>
</cp:coreProperties>
</file>